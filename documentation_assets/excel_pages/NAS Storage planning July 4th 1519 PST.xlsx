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<sst xmlns="http://schemas.openxmlformats.org/spreadsheetml/2006/main" count="44" uniqueCount="41">
  <si>
    <t>Parts</t>
  </si>
  <si>
    <t>Name</t>
  </si>
  <si>
    <t>Search</t>
  </si>
  <si>
    <t>Price</t>
  </si>
  <si>
    <t>Central Processing Unit</t>
  </si>
  <si>
    <t>i5-13600K Tray version (散片))</t>
  </si>
  <si>
    <t>Intel i5-13600K 散片</t>
  </si>
  <si>
    <t>PCIE Expansion Card</t>
  </si>
  <si>
    <t>Mellanox ConnectX-3 10GbE SFP+ Single Port</t>
  </si>
  <si>
    <t>MCX311A 万兆单口 短挡板</t>
  </si>
  <si>
    <t>Adapter</t>
  </si>
  <si>
    <t>SFP+ to RJ45 Adapter</t>
  </si>
  <si>
    <t>SFP+ to RJ45 10gbps CAT6a adapter</t>
  </si>
  <si>
    <t>Random Access Memory</t>
  </si>
  <si>
    <t>Great Wall 2*16gb DDR4-3200 CL16</t>
  </si>
  <si>
    <t>长城DDR4 3200 32G套装 常规版</t>
  </si>
  <si>
    <t>m.2 NVME PCIE4x4</t>
  </si>
  <si>
    <t>512gb PCIE4x4</t>
  </si>
  <si>
    <t xml:space="preserve"> 512gb</t>
  </si>
  <si>
    <t>Hard Drive (2x)</t>
  </si>
  <si>
    <t>Western Digital HC530 14tb 7200rpm Enterprise SATA</t>
  </si>
  <si>
    <t>正品国行 西数 HC530 14T</t>
  </si>
  <si>
    <t>CPU Cooler</t>
  </si>
  <si>
    <t>Thermalright SI-100</t>
  </si>
  <si>
    <t>Power Supply</t>
  </si>
  <si>
    <t>Great Wall TF750W 80+ Plat</t>
  </si>
  <si>
    <t>长城 TF750W SFX PSU</t>
  </si>
  <si>
    <t>Motherboard</t>
  </si>
  <si>
    <t>ASRock B760M-Itx D4 Wifi</t>
  </si>
  <si>
    <t>Case</t>
  </si>
  <si>
    <t>Jonsbo N3</t>
  </si>
  <si>
    <t>Jonsbo N3 Mini-Itx DIY NAS case</t>
  </si>
  <si>
    <t>Case fans (2x each)</t>
  </si>
  <si>
    <t>Noctua NF-A9 + A8 PWM</t>
  </si>
  <si>
    <t>NF-A9 PWM + NF-A8 PWM</t>
  </si>
  <si>
    <t>Operating system</t>
  </si>
  <si>
    <t>TrueNAS Scale</t>
  </si>
  <si>
    <t>Accessories</t>
  </si>
  <si>
    <t>SATA + Molex extention cord</t>
  </si>
  <si>
    <t>SATA + Molex extention cable pack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</si>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</sst>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5" displayName="Parts_list" name="Parts_list" id="1">
  <tableColumns count="4">
    <tableColumn name="Parts" id="1"/>
    <tableColumn name="Name" id="2"/>
    <tableColumn name="Search" id="3"/>
    <tableColumn name="Pric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4</v>
      </c>
      <c r="B2" s="3" t="s">
        <v>5</v>
      </c>
      <c r="C2" s="3" t="s">
        <v>6</v>
      </c>
      <c r="D2" s="4">
        <v>208.56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7</v>
      </c>
      <c r="B3" s="3" t="s">
        <v>8</v>
      </c>
      <c r="C3" s="3" t="s">
        <v>9</v>
      </c>
      <c r="D3" s="4">
        <v>20.58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3" t="s">
        <v>10</v>
      </c>
      <c r="B4" s="3" t="s">
        <v>11</v>
      </c>
      <c r="C4" s="3" t="s">
        <v>12</v>
      </c>
      <c r="D4" s="4">
        <v>24.31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3" t="s">
        <v>13</v>
      </c>
      <c r="B5" s="3" t="s">
        <v>14</v>
      </c>
      <c r="C5" s="3" t="s">
        <v>15</v>
      </c>
      <c r="D5" s="4">
        <v>132.13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3" t="s">
        <v>16</v>
      </c>
      <c r="B6" s="3" t="s">
        <v>17</v>
      </c>
      <c r="C6" s="5" t="s">
        <v>18</v>
      </c>
      <c r="D6" s="4">
        <v>82.31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3" t="s">
        <v>19</v>
      </c>
      <c r="B7" s="3" t="s">
        <v>20</v>
      </c>
      <c r="C7" s="3" t="s">
        <v>21</v>
      </c>
      <c r="D7" s="4">
        <v>543.81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3" t="s">
        <v>22</v>
      </c>
      <c r="B8" s="3" t="s">
        <v>23</v>
      </c>
      <c r="C8" s="3" t="s">
        <v>23</v>
      </c>
      <c r="D8" s="4">
        <v>26.9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3" t="s">
        <v>24</v>
      </c>
      <c r="B9" s="3" t="s">
        <v>25</v>
      </c>
      <c r="C9" s="3" t="s">
        <v>26</v>
      </c>
      <c r="D9" s="4">
        <v>102.74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3" t="s">
        <v>27</v>
      </c>
      <c r="B10" s="3" t="s">
        <v>28</v>
      </c>
      <c r="C10" s="3" t="s">
        <v>28</v>
      </c>
      <c r="D10" s="4">
        <v>148.99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29</v>
      </c>
      <c r="B11" s="3" t="s">
        <v>30</v>
      </c>
      <c r="C11" s="3" t="s">
        <v>31</v>
      </c>
      <c r="D11" s="4">
        <v>143.63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32</v>
      </c>
      <c r="B12" s="3" t="s">
        <v>33</v>
      </c>
      <c r="C12" s="3" t="s">
        <v>34</v>
      </c>
      <c r="D12" s="4">
        <f>sum(18.95+18.95+17.95+17.95)</f>
        <v>73.8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35</v>
      </c>
      <c r="B13" s="3" t="s">
        <v>36</v>
      </c>
      <c r="C13" s="3" t="s">
        <v>36</v>
      </c>
      <c r="D13" s="4">
        <v>0.0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37</v>
      </c>
      <c r="B14" s="3" t="s">
        <v>38</v>
      </c>
      <c r="C14" s="3" t="s">
        <v>39</v>
      </c>
      <c r="D14" s="4">
        <v>13.99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 t="s">
        <v>40</v>
      </c>
      <c r="B15" s="3"/>
      <c r="C15" s="3"/>
      <c r="D15" s="4">
        <f>SUM(D2:D14)</f>
        <v>1521.75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drawing r:id="rId1"/>
  <tableParts count="1">
    <tablePart r:id="rId3"/>
  </tableParts>
</worksheet>
</file>