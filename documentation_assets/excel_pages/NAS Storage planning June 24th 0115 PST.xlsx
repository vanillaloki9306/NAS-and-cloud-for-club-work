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<sst xmlns="http://schemas.openxmlformats.org/spreadsheetml/2006/main" count="38" uniqueCount="36">
  <si>
    <t>Parts</t>
  </si>
  <si>
    <t>Name</t>
  </si>
  <si>
    <t>Search</t>
  </si>
  <si>
    <t>Price</t>
  </si>
  <si>
    <t>Central Processing Unit</t>
  </si>
  <si>
    <t>i5-13600K Tray version (散片))</t>
  </si>
  <si>
    <t>Intel i5-13600K 散片</t>
  </si>
  <si>
    <t>PCIE Expansion Card</t>
  </si>
  <si>
    <t>Mellanox ConnectX-3 10GbE SFP+ Single Port</t>
  </si>
  <si>
    <t>MCX311A 万兆单口 短挡板</t>
  </si>
  <si>
    <t>Random Access Memory</t>
  </si>
  <si>
    <t>KingBank 2*16gb DDR4-3200</t>
  </si>
  <si>
    <t>DDR4 3200 32G套装 常规版</t>
  </si>
  <si>
    <t>m.2 NVME PCIE4x4</t>
  </si>
  <si>
    <t>512gb PCIE4x4</t>
  </si>
  <si>
    <t xml:space="preserve"> 512gb</t>
  </si>
  <si>
    <t>Hard Drive (2x)</t>
  </si>
  <si>
    <t>Western Digital HC530 14tb 7200rpm Enterprise SATA</t>
  </si>
  <si>
    <t>正品国行 西数 HC530 14T</t>
  </si>
  <si>
    <t>CPU Cooler</t>
  </si>
  <si>
    <t>Thermalright AXP120-X67</t>
  </si>
  <si>
    <t>利民 AXP120-X67</t>
  </si>
  <si>
    <t>Power Supply</t>
  </si>
  <si>
    <t>Great Wall TF750W 80+ Plat</t>
  </si>
  <si>
    <t>TF750W SFX</t>
  </si>
  <si>
    <t>Motherboard</t>
  </si>
  <si>
    <t>Maxsun B760I Wifi D4</t>
  </si>
  <si>
    <t>Case</t>
  </si>
  <si>
    <t>Jonsbo N3</t>
  </si>
  <si>
    <t>Jonsbo N3 Mini-Itx DIY NAS case</t>
  </si>
  <si>
    <t>Case fans (2x each)</t>
  </si>
  <si>
    <t>Noctua NF-A9 + A8 PWM</t>
  </si>
  <si>
    <t>NF-A9 PWM + NF-A8 PWM</t>
  </si>
  <si>
    <t>Operating system</t>
  </si>
  <si>
    <t>TrueNAS Scale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</si>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</sst>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209.64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20.68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132.82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5" t="s">
        <v>15</v>
      </c>
      <c r="D5" s="4">
        <v>83.92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3" t="s">
        <v>18</v>
      </c>
      <c r="D6" s="4">
        <v>546.64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27.33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22</v>
      </c>
      <c r="B8" s="3" t="s">
        <v>23</v>
      </c>
      <c r="C8" s="3" t="s">
        <v>24</v>
      </c>
      <c r="D8" s="4">
        <v>103.27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25</v>
      </c>
      <c r="B9" s="3" t="s">
        <v>26</v>
      </c>
      <c r="C9" s="3" t="s">
        <v>26</v>
      </c>
      <c r="D9" s="4">
        <v>115.09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27</v>
      </c>
      <c r="B10" s="3" t="s">
        <v>28</v>
      </c>
      <c r="C10" s="3" t="s">
        <v>29</v>
      </c>
      <c r="D10" s="4">
        <v>143.63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30</v>
      </c>
      <c r="B11" s="3" t="s">
        <v>31</v>
      </c>
      <c r="C11" s="3" t="s">
        <v>32</v>
      </c>
      <c r="D11" s="4">
        <f>sum(18.95+18.95+17.95+17.95)</f>
        <v>73.8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33</v>
      </c>
      <c r="B12" s="3" t="s">
        <v>34</v>
      </c>
      <c r="C12" s="3" t="s">
        <v>34</v>
      </c>
      <c r="D12" s="4">
        <v>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35</v>
      </c>
      <c r="B13" s="3"/>
      <c r="C13" s="3"/>
      <c r="D13" s="4">
        <f>SUM(D2:D11)</f>
        <v>1456.82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  <tableParts count="1">
    <tablePart r:id="rId3"/>
  </tableParts>
</worksheet>
</file>